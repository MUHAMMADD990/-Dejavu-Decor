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adr\Desktop\"/>
    </mc:Choice>
  </mc:AlternateContent>
  <xr:revisionPtr revIDLastSave="0" documentId="13_ncr:1_{9CAD79A1-D720-4BEB-BA96-98B3C4EABE2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قص الليزر" sheetId="2" r:id="rId1"/>
    <sheet name="الطباعة 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2" l="1"/>
  <c r="G26" i="2" s="1"/>
  <c r="G29" i="2" s="1"/>
  <c r="E32" i="2" s="1"/>
  <c r="G32" i="2" s="1"/>
  <c r="B19" i="3"/>
  <c r="B18" i="3"/>
  <c r="B17" i="3"/>
  <c r="B20" i="3" l="1"/>
  <c r="B22" i="3" s="1"/>
</calcChain>
</file>

<file path=xl/sharedStrings.xml><?xml version="1.0" encoding="utf-8"?>
<sst xmlns="http://schemas.openxmlformats.org/spreadsheetml/2006/main" count="41" uniqueCount="41">
  <si>
    <t>البند</t>
  </si>
  <si>
    <t>القيمة</t>
  </si>
  <si>
    <t>الوحدة</t>
  </si>
  <si>
    <t>جنيه/ساعة</t>
  </si>
  <si>
    <t>%</t>
  </si>
  <si>
    <t>جنيه/شغلانة</t>
  </si>
  <si>
    <t>هامش الربح المطلوب</t>
  </si>
  <si>
    <t>ساعة</t>
  </si>
  <si>
    <t>الكمية المطلوبة</t>
  </si>
  <si>
    <t>قطعة</t>
  </si>
  <si>
    <t>النتيجة</t>
  </si>
  <si>
    <t>السعر الإجمالي المقترح للعميل</t>
  </si>
  <si>
    <t>أسعار وتكاليف أساسية</t>
  </si>
  <si>
    <t>سعر خامة الطباعة للجرام</t>
  </si>
  <si>
    <t>جنيه/جرام</t>
  </si>
  <si>
    <t>سعر ساعة الماكينة (كهرباء + إهلاك + صيانة)</t>
  </si>
  <si>
    <t>تكلفة ما بعد المعالجة (تنظيف/دعامات/تشطيب) للقطعة</t>
  </si>
  <si>
    <t>جنيه/قطعة</t>
  </si>
  <si>
    <t>رسوم تجهيز الملف/التقطيع (لكل شغلانة)</t>
  </si>
  <si>
    <t>بيانات الشغلانة الحالية</t>
  </si>
  <si>
    <t>جرام</t>
  </si>
  <si>
    <t>زمن طباعة القطعة الواحدة</t>
  </si>
  <si>
    <t>إجمالي تكلفة الخامة</t>
  </si>
  <si>
    <t>إجمالي تكلفة زمن الطباعة</t>
  </si>
  <si>
    <t>إجمالي تكلفة ما بعد المعالجة</t>
  </si>
  <si>
    <t>إجمالي التكلفة</t>
  </si>
  <si>
    <t>مقاسات اللوح</t>
  </si>
  <si>
    <t xml:space="preserve"> سعر اللوح</t>
  </si>
  <si>
    <t>السعر للسم</t>
  </si>
  <si>
    <t>الارتفاع</t>
  </si>
  <si>
    <t>العرض</t>
  </si>
  <si>
    <t>سعر الخام</t>
  </si>
  <si>
    <t>سعر الساعه</t>
  </si>
  <si>
    <t>وقت التشغيل</t>
  </si>
  <si>
    <t>سعر التكلفة</t>
  </si>
  <si>
    <t>نسبة الربح</t>
  </si>
  <si>
    <t>سعر البيع بالجمله</t>
  </si>
  <si>
    <t xml:space="preserve">القطاعي </t>
  </si>
  <si>
    <t>التسعير للقطاعي</t>
  </si>
  <si>
    <t>الطباعة ثلاثية الأبعاد  —  حاسبة التسعير</t>
  </si>
  <si>
    <t>وزن القطعة الواحدة (شامل السبورتات)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</si>
</sst>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#,##0.00&quot; EGP&quot;"/>
    <numFmt numFmtId="166" formatCode="0.00&quot; ساعة&quot;"/>
  </numFmts>
  <fonts count="20" x14ac:knownFonts="1">
    <font>
      <sz val="11"/>
      <name val="Calibri"/>
      <scheme val="minor"/>
    </font>
    <font>
      <b/>
      <sz val="11"/>
      <color rgb="FFFFFFFF"/>
      <name val="Arial"/>
    </font>
    <font>
      <sz val="11"/>
      <name val="Calibri"/>
    </font>
    <font>
      <b/>
      <sz val="11"/>
      <color rgb="FF292929"/>
      <name val="Arial"/>
    </font>
    <font>
      <i/>
      <sz val="9"/>
      <color rgb="FF666666"/>
      <name val="Arial"/>
    </font>
    <font>
      <sz val="11"/>
      <name val="Calibri"/>
      <scheme val="minor"/>
    </font>
    <font>
      <sz val="11"/>
      <color theme="1"/>
      <name val="Calibri"/>
      <family val="2"/>
    </font>
    <font>
      <b/>
      <sz val="11"/>
      <color rgb="FFFFFFFF"/>
      <name val="Arial"/>
      <family val="2"/>
    </font>
    <font>
      <b/>
      <sz val="11"/>
      <name val="Calibri"/>
      <family val="2"/>
      <scheme val="minor"/>
    </font>
    <font>
      <b/>
      <sz val="11"/>
      <color rgb="FF292929"/>
      <name val="Arial"/>
      <family val="2"/>
    </font>
    <font>
      <b/>
      <sz val="20"/>
      <color rgb="FFFFFFFF"/>
      <name val="Arial"/>
      <family val="2"/>
    </font>
    <font>
      <b/>
      <sz val="16"/>
      <color rgb="FFFFFFFF"/>
      <name val="Arial"/>
      <family val="2"/>
    </font>
    <font>
      <b/>
      <sz val="16"/>
      <color theme="0"/>
      <name val="Arial"/>
      <family val="2"/>
    </font>
    <font>
      <b/>
      <sz val="14"/>
      <color theme="0"/>
      <name val="Calibri"/>
      <family val="2"/>
    </font>
    <font>
      <b/>
      <sz val="11"/>
      <color theme="1"/>
      <name val="Calibri"/>
      <family val="2"/>
    </font>
    <font>
      <b/>
      <sz val="18"/>
      <color theme="0"/>
      <name val="Stencil"/>
      <family val="5"/>
    </font>
    <font>
      <b/>
      <sz val="28"/>
      <color rgb="FFFFFFFF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1"/>
      <color rgb="FFFFFF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B5121B"/>
        <bgColor rgb="FFB5121B"/>
      </patternFill>
    </fill>
    <fill>
      <patternFill patternType="solid">
        <fgColor rgb="FF292929"/>
        <bgColor rgb="FF292929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00000"/>
        <bgColor rgb="FFB5121B"/>
      </patternFill>
    </fill>
    <fill>
      <patternFill patternType="solid">
        <fgColor theme="1" tint="4.9989318521683403E-2"/>
        <bgColor rgb="FF8EAADB"/>
      </patternFill>
    </fill>
    <fill>
      <patternFill patternType="solid">
        <fgColor theme="1" tint="4.9989318521683403E-2"/>
        <bgColor rgb="FFFFC000"/>
      </patternFill>
    </fill>
    <fill>
      <patternFill patternType="solid">
        <fgColor theme="1" tint="4.9989318521683403E-2"/>
        <bgColor rgb="FFB4C6E7"/>
      </patternFill>
    </fill>
    <fill>
      <patternFill patternType="solid">
        <fgColor theme="1" tint="4.9989318521683403E-2"/>
        <bgColor rgb="FF00B050"/>
      </patternFill>
    </fill>
    <fill>
      <patternFill patternType="solid">
        <fgColor theme="1" tint="4.9989318521683403E-2"/>
        <bgColor rgb="FF92D050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rgb="FFB5121B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2CC"/>
        <bgColor indexed="64"/>
      </patternFill>
    </fill>
  </fills>
  <borders count="41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CCCCCC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medium">
        <color indexed="64"/>
      </right>
      <top style="thin">
        <color rgb="FFCCCCCC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CCCCCC"/>
      </bottom>
      <diagonal/>
    </border>
    <border>
      <left/>
      <right/>
      <top style="medium">
        <color indexed="64"/>
      </top>
      <bottom style="thin">
        <color rgb="FFCCCCCC"/>
      </bottom>
      <diagonal/>
    </border>
    <border>
      <left/>
      <right style="medium">
        <color indexed="64"/>
      </right>
      <top style="medium">
        <color indexed="64"/>
      </top>
      <bottom style="thin">
        <color rgb="FFCCCCCC"/>
      </bottom>
      <diagonal/>
    </border>
    <border>
      <left style="medium">
        <color indexed="64"/>
      </left>
      <right style="thin">
        <color rgb="FFCCCCCC"/>
      </right>
      <top style="medium">
        <color indexed="64"/>
      </top>
      <bottom style="thin">
        <color rgb="FFCCCCCC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CCCCCC"/>
      </right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 style="medium">
        <color indexed="64"/>
      </left>
      <right/>
      <top/>
      <bottom style="thin">
        <color rgb="FFCCCCCC"/>
      </bottom>
      <diagonal/>
    </border>
    <border>
      <left/>
      <right style="medium">
        <color indexed="64"/>
      </right>
      <top/>
      <bottom style="thin">
        <color rgb="FFCCCCCC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120">
    <xf numFmtId="0" fontId="0" fillId="0" borderId="0" xfId="0"/>
    <xf numFmtId="0" fontId="2" fillId="0" borderId="1" xfId="0" applyFont="1" applyBorder="1"/>
    <xf numFmtId="0" fontId="8" fillId="0" borderId="0" xfId="0" applyFont="1" applyAlignment="1">
      <alignment horizontal="center"/>
    </xf>
    <xf numFmtId="0" fontId="0" fillId="0" borderId="4" xfId="0" applyBorder="1"/>
    <xf numFmtId="0" fontId="9" fillId="0" borderId="4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13" fillId="8" borderId="27" xfId="0" applyFont="1" applyFill="1" applyBorder="1" applyAlignment="1">
      <alignment horizontal="center" vertical="center"/>
    </xf>
    <xf numFmtId="0" fontId="13" fillId="9" borderId="28" xfId="0" applyFont="1" applyFill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3" fillId="10" borderId="29" xfId="0" applyFont="1" applyFill="1" applyBorder="1" applyAlignment="1">
      <alignment horizontal="center" vertical="center"/>
    </xf>
    <xf numFmtId="0" fontId="13" fillId="10" borderId="30" xfId="0" applyFont="1" applyFill="1" applyBorder="1" applyAlignment="1">
      <alignment horizontal="center" vertical="center"/>
    </xf>
    <xf numFmtId="0" fontId="13" fillId="11" borderId="33" xfId="0" applyFont="1" applyFill="1" applyBorder="1" applyAlignment="1">
      <alignment horizontal="center" vertical="center"/>
    </xf>
    <xf numFmtId="0" fontId="13" fillId="8" borderId="21" xfId="0" applyFont="1" applyFill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14" fillId="13" borderId="22" xfId="0" applyFont="1" applyFill="1" applyBorder="1" applyAlignment="1">
      <alignment horizontal="center" vertical="center"/>
    </xf>
    <xf numFmtId="0" fontId="14" fillId="13" borderId="23" xfId="0" applyFont="1" applyFill="1" applyBorder="1" applyAlignment="1">
      <alignment horizontal="center" vertical="center"/>
    </xf>
    <xf numFmtId="0" fontId="6" fillId="13" borderId="22" xfId="0" applyFont="1" applyFill="1" applyBorder="1" applyAlignment="1">
      <alignment horizontal="center" vertical="center"/>
    </xf>
    <xf numFmtId="0" fontId="6" fillId="13" borderId="23" xfId="0" applyFont="1" applyFill="1" applyBorder="1" applyAlignment="1">
      <alignment horizontal="center" vertical="center"/>
    </xf>
    <xf numFmtId="0" fontId="6" fillId="13" borderId="24" xfId="0" applyFont="1" applyFill="1" applyBorder="1" applyAlignment="1">
      <alignment horizontal="center" vertical="center"/>
    </xf>
    <xf numFmtId="0" fontId="8" fillId="15" borderId="5" xfId="0" applyFont="1" applyFill="1" applyBorder="1" applyAlignment="1">
      <alignment horizontal="center"/>
    </xf>
    <xf numFmtId="0" fontId="9" fillId="15" borderId="4" xfId="0" applyFont="1" applyFill="1" applyBorder="1" applyAlignment="1">
      <alignment horizontal="center" vertical="center" wrapText="1"/>
    </xf>
    <xf numFmtId="0" fontId="8" fillId="0" borderId="4" xfId="0" applyFont="1" applyBorder="1"/>
    <xf numFmtId="0" fontId="4" fillId="0" borderId="0" xfId="0" applyFont="1" applyAlignment="1">
      <alignment vertical="center" wrapText="1"/>
    </xf>
    <xf numFmtId="0" fontId="2" fillId="16" borderId="1" xfId="0" applyFont="1" applyFill="1" applyBorder="1"/>
    <xf numFmtId="0" fontId="1" fillId="4" borderId="16" xfId="0" applyFont="1" applyFill="1" applyBorder="1" applyAlignment="1">
      <alignment horizontal="center" vertical="center" wrapText="1"/>
    </xf>
    <xf numFmtId="0" fontId="11" fillId="7" borderId="10" xfId="0" applyFont="1" applyFill="1" applyBorder="1" applyAlignment="1">
      <alignment horizontal="center" vertical="center" wrapText="1"/>
    </xf>
    <xf numFmtId="0" fontId="19" fillId="17" borderId="4" xfId="0" applyFont="1" applyFill="1" applyBorder="1"/>
    <xf numFmtId="4" fontId="17" fillId="2" borderId="37" xfId="0" applyNumberFormat="1" applyFont="1" applyFill="1" applyBorder="1" applyAlignment="1">
      <alignment horizontal="center" vertical="center"/>
    </xf>
    <xf numFmtId="0" fontId="18" fillId="0" borderId="5" xfId="0" applyFont="1" applyBorder="1" applyAlignment="1">
      <alignment horizontal="center" vertical="center" wrapText="1"/>
    </xf>
    <xf numFmtId="4" fontId="17" fillId="2" borderId="6" xfId="0" applyNumberFormat="1" applyFont="1" applyFill="1" applyBorder="1" applyAlignment="1">
      <alignment horizontal="center" vertical="center"/>
    </xf>
    <xf numFmtId="3" fontId="17" fillId="2" borderId="6" xfId="0" applyNumberFormat="1" applyFont="1" applyFill="1" applyBorder="1" applyAlignment="1">
      <alignment horizontal="center" vertical="center"/>
    </xf>
    <xf numFmtId="164" fontId="17" fillId="2" borderId="37" xfId="0" applyNumberFormat="1" applyFont="1" applyFill="1" applyBorder="1" applyAlignment="1">
      <alignment horizontal="center" vertical="center"/>
    </xf>
    <xf numFmtId="164" fontId="17" fillId="2" borderId="6" xfId="0" applyNumberFormat="1" applyFont="1" applyFill="1" applyBorder="1" applyAlignment="1">
      <alignment horizontal="center" vertical="center"/>
    </xf>
    <xf numFmtId="10" fontId="17" fillId="2" borderId="6" xfId="0" applyNumberFormat="1" applyFont="1" applyFill="1" applyBorder="1" applyAlignment="1">
      <alignment horizontal="center" vertical="center"/>
    </xf>
    <xf numFmtId="0" fontId="18" fillId="0" borderId="3" xfId="0" applyFont="1" applyBorder="1" applyAlignment="1">
      <alignment horizontal="center" vertical="center" wrapText="1"/>
    </xf>
    <xf numFmtId="164" fontId="17" fillId="15" borderId="6" xfId="0" applyNumberFormat="1" applyFont="1" applyFill="1" applyBorder="1" applyAlignment="1">
      <alignment horizontal="center" vertical="center"/>
    </xf>
    <xf numFmtId="164" fontId="17" fillId="2" borderId="20" xfId="0" applyNumberFormat="1" applyFont="1" applyFill="1" applyBorder="1" applyAlignment="1">
      <alignment horizontal="center" vertical="center"/>
    </xf>
    <xf numFmtId="164" fontId="7" fillId="4" borderId="6" xfId="0" applyNumberFormat="1" applyFont="1" applyFill="1" applyBorder="1" applyAlignment="1">
      <alignment horizontal="center" vertical="center"/>
    </xf>
    <xf numFmtId="4" fontId="17" fillId="2" borderId="20" xfId="0" applyNumberFormat="1" applyFont="1" applyFill="1" applyBorder="1" applyAlignment="1">
      <alignment horizontal="center" vertical="center"/>
    </xf>
    <xf numFmtId="0" fontId="17" fillId="2" borderId="20" xfId="1" applyNumberFormat="1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4" fontId="17" fillId="2" borderId="2" xfId="0" applyNumberFormat="1" applyFont="1" applyFill="1" applyBorder="1" applyAlignment="1">
      <alignment horizontal="center" vertical="center"/>
    </xf>
    <xf numFmtId="4" fontId="17" fillId="2" borderId="4" xfId="0" applyNumberFormat="1" applyFont="1" applyFill="1" applyBorder="1" applyAlignment="1">
      <alignment horizontal="center" vertical="center"/>
    </xf>
    <xf numFmtId="3" fontId="17" fillId="2" borderId="4" xfId="0" applyNumberFormat="1" applyFont="1" applyFill="1" applyBorder="1" applyAlignment="1">
      <alignment horizontal="center" vertical="center"/>
    </xf>
    <xf numFmtId="164" fontId="17" fillId="0" borderId="7" xfId="0" applyNumberFormat="1" applyFont="1" applyBorder="1" applyAlignment="1">
      <alignment horizontal="center" vertical="center"/>
    </xf>
    <xf numFmtId="164" fontId="17" fillId="0" borderId="9" xfId="0" applyNumberFormat="1" applyFont="1" applyBorder="1" applyAlignment="1">
      <alignment horizontal="center" vertical="center"/>
    </xf>
    <xf numFmtId="164" fontId="17" fillId="0" borderId="4" xfId="0" applyNumberFormat="1" applyFont="1" applyBorder="1" applyAlignment="1">
      <alignment horizontal="center" vertical="center"/>
    </xf>
    <xf numFmtId="164" fontId="17" fillId="0" borderId="5" xfId="0" applyNumberFormat="1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166" fontId="17" fillId="0" borderId="5" xfId="0" applyNumberFormat="1" applyFont="1" applyBorder="1" applyAlignment="1">
      <alignment horizontal="center" vertical="center"/>
    </xf>
    <xf numFmtId="0" fontId="9" fillId="18" borderId="4" xfId="0" applyFont="1" applyFill="1" applyBorder="1" applyAlignment="1">
      <alignment horizontal="center" vertical="center" wrapText="1"/>
    </xf>
    <xf numFmtId="164" fontId="17" fillId="18" borderId="6" xfId="0" applyNumberFormat="1" applyFont="1" applyFill="1" applyBorder="1" applyAlignment="1">
      <alignment horizontal="center" vertical="center"/>
    </xf>
    <xf numFmtId="0" fontId="8" fillId="18" borderId="5" xfId="0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40" xfId="0" applyBorder="1" applyAlignment="1">
      <alignment horizontal="center"/>
    </xf>
    <xf numFmtId="0" fontId="12" fillId="6" borderId="10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164" fontId="11" fillId="3" borderId="11" xfId="0" applyNumberFormat="1" applyFont="1" applyFill="1" applyBorder="1" applyAlignment="1">
      <alignment horizontal="center"/>
    </xf>
    <xf numFmtId="164" fontId="11" fillId="3" borderId="12" xfId="0" applyNumberFormat="1" applyFont="1" applyFill="1" applyBorder="1" applyAlignment="1">
      <alignment horizontal="center"/>
    </xf>
    <xf numFmtId="0" fontId="12" fillId="6" borderId="10" xfId="0" applyFont="1" applyFill="1" applyBorder="1" applyAlignment="1">
      <alignment horizontal="center"/>
    </xf>
    <xf numFmtId="0" fontId="12" fillId="6" borderId="13" xfId="0" applyFont="1" applyFill="1" applyBorder="1" applyAlignment="1">
      <alignment horizontal="center"/>
    </xf>
    <xf numFmtId="0" fontId="12" fillId="6" borderId="12" xfId="0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16" fillId="7" borderId="10" xfId="0" applyFont="1" applyFill="1" applyBorder="1" applyAlignment="1">
      <alignment horizontal="center" vertical="center"/>
    </xf>
    <xf numFmtId="0" fontId="16" fillId="7" borderId="13" xfId="0" applyFont="1" applyFill="1" applyBorder="1" applyAlignment="1">
      <alignment horizontal="center" vertical="center"/>
    </xf>
    <xf numFmtId="0" fontId="16" fillId="7" borderId="12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13" fillId="8" borderId="25" xfId="0" applyFont="1" applyFill="1" applyBorder="1" applyAlignment="1">
      <alignment horizontal="center" vertical="center"/>
    </xf>
    <xf numFmtId="0" fontId="13" fillId="8" borderId="26" xfId="0" applyFont="1" applyFill="1" applyBorder="1" applyAlignment="1">
      <alignment horizontal="center" vertical="center"/>
    </xf>
    <xf numFmtId="0" fontId="15" fillId="6" borderId="10" xfId="0" applyFont="1" applyFill="1" applyBorder="1" applyAlignment="1">
      <alignment horizontal="center" vertical="top"/>
    </xf>
    <xf numFmtId="0" fontId="15" fillId="6" borderId="13" xfId="0" applyFont="1" applyFill="1" applyBorder="1" applyAlignment="1">
      <alignment horizontal="center" vertical="top"/>
    </xf>
    <xf numFmtId="0" fontId="15" fillId="6" borderId="12" xfId="0" applyFont="1" applyFill="1" applyBorder="1" applyAlignment="1">
      <alignment horizontal="center" vertical="top"/>
    </xf>
    <xf numFmtId="0" fontId="13" fillId="11" borderId="31" xfId="0" applyFont="1" applyFill="1" applyBorder="1" applyAlignment="1">
      <alignment horizontal="center" vertical="center"/>
    </xf>
    <xf numFmtId="0" fontId="13" fillId="11" borderId="3" xfId="0" applyFont="1" applyFill="1" applyBorder="1" applyAlignment="1">
      <alignment horizontal="center" vertical="center"/>
    </xf>
    <xf numFmtId="0" fontId="0" fillId="14" borderId="10" xfId="0" applyFill="1" applyBorder="1" applyAlignment="1">
      <alignment horizontal="center" vertical="center"/>
    </xf>
    <xf numFmtId="0" fontId="0" fillId="14" borderId="13" xfId="0" applyFill="1" applyBorder="1" applyAlignment="1">
      <alignment horizontal="center" vertical="center"/>
    </xf>
    <xf numFmtId="0" fontId="0" fillId="14" borderId="12" xfId="0" applyFill="1" applyBorder="1" applyAlignment="1">
      <alignment horizontal="center" vertical="center"/>
    </xf>
    <xf numFmtId="0" fontId="19" fillId="17" borderId="7" xfId="0" applyFont="1" applyFill="1" applyBorder="1" applyAlignment="1">
      <alignment horizontal="center"/>
    </xf>
    <xf numFmtId="0" fontId="19" fillId="17" borderId="9" xfId="0" applyFont="1" applyFill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3" fillId="12" borderId="2" xfId="0" applyFont="1" applyFill="1" applyBorder="1" applyAlignment="1">
      <alignment horizontal="center" vertical="center"/>
    </xf>
    <xf numFmtId="0" fontId="13" fillId="12" borderId="34" xfId="0" applyFont="1" applyFill="1" applyBorder="1" applyAlignment="1">
      <alignment horizontal="center" vertical="center"/>
    </xf>
    <xf numFmtId="0" fontId="13" fillId="6" borderId="7" xfId="0" applyFont="1" applyFill="1" applyBorder="1" applyAlignment="1">
      <alignment horizontal="center" vertical="center"/>
    </xf>
    <xf numFmtId="0" fontId="13" fillId="6" borderId="36" xfId="0" applyFont="1" applyFill="1" applyBorder="1" applyAlignment="1">
      <alignment horizontal="center" vertical="center"/>
    </xf>
    <xf numFmtId="0" fontId="13" fillId="12" borderId="35" xfId="0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0" fontId="13" fillId="6" borderId="32" xfId="0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13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/>
    </xf>
    <xf numFmtId="164" fontId="11" fillId="7" borderId="11" xfId="0" applyNumberFormat="1" applyFont="1" applyFill="1" applyBorder="1" applyAlignment="1">
      <alignment horizontal="center" vertical="center"/>
    </xf>
    <xf numFmtId="164" fontId="11" fillId="7" borderId="12" xfId="0" applyNumberFormat="1" applyFont="1" applyFill="1" applyBorder="1" applyAlignment="1">
      <alignment horizontal="center" vertical="center"/>
    </xf>
    <xf numFmtId="164" fontId="9" fillId="18" borderId="4" xfId="0" applyNumberFormat="1" applyFont="1" applyFill="1" applyBorder="1" applyAlignment="1">
      <alignment horizontal="center" vertical="center"/>
    </xf>
    <xf numFmtId="164" fontId="9" fillId="18" borderId="5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F2CC"/>
      <color rgb="FFFFC1C1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"/>
  <sheetViews>
    <sheetView rightToLeft="1" tabSelected="1" topLeftCell="A4" zoomScale="85" zoomScaleNormal="85" workbookViewId="0">
      <selection activeCell="D22" sqref="D22"/>
    </sheetView>
  </sheetViews>
  <sheetFormatPr defaultColWidth="14.42578125" defaultRowHeight="15" customHeight="1" x14ac:dyDescent="0.25"/>
  <cols>
    <col min="1" max="1" width="71.28515625" customWidth="1"/>
    <col min="2" max="2" width="18" customWidth="1"/>
    <col min="3" max="3" width="18" style="2" customWidth="1"/>
    <col min="4" max="4" width="18" customWidth="1"/>
    <col min="5" max="5" width="12.5703125" bestFit="1" customWidth="1"/>
    <col min="6" max="6" width="14.28515625" bestFit="1" customWidth="1"/>
    <col min="7" max="8" width="12.42578125" bestFit="1" customWidth="1"/>
    <col min="9" max="11" width="8.7109375" customWidth="1"/>
  </cols>
  <sheetData>
    <row r="1" spans="1:5" ht="67.5" customHeight="1" thickBot="1" x14ac:dyDescent="0.3">
      <c r="A1" s="80"/>
      <c r="B1" s="81"/>
      <c r="C1" s="82"/>
      <c r="D1" s="1"/>
      <c r="E1" s="1"/>
    </row>
    <row r="2" spans="1:5" ht="15" customHeight="1" x14ac:dyDescent="0.25">
      <c r="A2" s="83"/>
      <c r="B2" s="84"/>
      <c r="C2" s="85"/>
    </row>
    <row r="3" spans="1:5" ht="15.75" thickBot="1" x14ac:dyDescent="0.3">
      <c r="A3" s="8"/>
      <c r="B3" s="9"/>
      <c r="C3" s="10"/>
    </row>
    <row r="4" spans="1:5" ht="24.75" customHeight="1" thickBot="1" x14ac:dyDescent="0.35">
      <c r="A4" s="67"/>
      <c r="B4" s="68"/>
      <c r="C4" s="69"/>
    </row>
    <row r="5" spans="1:5" x14ac:dyDescent="0.25">
      <c r="A5" s="4"/>
      <c r="B5" s="42"/>
      <c r="C5" s="40"/>
    </row>
    <row r="6" spans="1:5" x14ac:dyDescent="0.25">
      <c r="A6" s="5"/>
      <c r="B6" s="35"/>
      <c r="C6" s="34"/>
    </row>
    <row r="7" spans="1:5" x14ac:dyDescent="0.25">
      <c r="A7" s="5"/>
      <c r="B7" s="36"/>
      <c r="C7" s="34"/>
    </row>
    <row r="8" spans="1:5" x14ac:dyDescent="0.25">
      <c r="A8" s="5"/>
      <c r="B8" s="38"/>
      <c r="C8" s="34"/>
    </row>
    <row r="9" spans="1:5" x14ac:dyDescent="0.25">
      <c r="A9" s="26"/>
      <c r="B9" s="41"/>
      <c r="C9" s="25"/>
    </row>
    <row r="10" spans="1:5" ht="15" customHeight="1" thickBot="1" x14ac:dyDescent="0.3">
      <c r="A10" s="3"/>
      <c r="B10" s="76"/>
      <c r="C10" s="77"/>
    </row>
    <row r="11" spans="1:5" ht="21" thickBot="1" x14ac:dyDescent="0.3">
      <c r="A11" s="62"/>
      <c r="B11" s="63"/>
      <c r="C11" s="64"/>
    </row>
    <row r="12" spans="1:5" x14ac:dyDescent="0.25">
      <c r="A12" s="5"/>
      <c r="B12" s="44"/>
      <c r="C12" s="40"/>
    </row>
    <row r="13" spans="1:5" x14ac:dyDescent="0.25">
      <c r="A13" s="5"/>
      <c r="B13" s="38"/>
      <c r="C13" s="34"/>
    </row>
    <row r="14" spans="1:5" x14ac:dyDescent="0.25">
      <c r="A14" s="56"/>
      <c r="B14" s="57"/>
      <c r="C14" s="58"/>
    </row>
    <row r="15" spans="1:5" x14ac:dyDescent="0.25">
      <c r="A15" s="4"/>
      <c r="B15" s="38"/>
      <c r="C15" s="34"/>
    </row>
    <row r="16" spans="1:5" x14ac:dyDescent="0.25">
      <c r="A16" s="5"/>
      <c r="B16" s="38"/>
      <c r="C16" s="34"/>
    </row>
    <row r="17" spans="1:8" x14ac:dyDescent="0.25">
      <c r="A17" s="5"/>
      <c r="B17" s="38"/>
      <c r="C17" s="34"/>
    </row>
    <row r="18" spans="1:8" x14ac:dyDescent="0.25">
      <c r="A18" s="56"/>
      <c r="B18" s="57"/>
      <c r="C18" s="58"/>
    </row>
    <row r="19" spans="1:8" x14ac:dyDescent="0.25">
      <c r="A19" s="11"/>
      <c r="B19" s="43"/>
      <c r="C19" s="7"/>
    </row>
    <row r="20" spans="1:8" ht="15.75" thickBot="1" x14ac:dyDescent="0.3">
      <c r="A20" s="32"/>
      <c r="B20" s="96"/>
      <c r="C20" s="97"/>
    </row>
    <row r="21" spans="1:8" ht="24.75" thickBot="1" x14ac:dyDescent="0.35">
      <c r="A21" s="67"/>
      <c r="B21" s="68"/>
      <c r="C21" s="69"/>
      <c r="E21" s="88" t="s">
        <v>38</v>
      </c>
      <c r="F21" s="89"/>
      <c r="G21" s="89"/>
      <c r="H21" s="90"/>
    </row>
    <row r="22" spans="1:8" ht="19.5" thickBot="1" x14ac:dyDescent="0.3">
      <c r="A22" s="4"/>
      <c r="B22" s="45"/>
      <c r="C22" s="40"/>
      <c r="E22" s="86" t="s">
        <v>26</v>
      </c>
      <c r="F22" s="87"/>
      <c r="G22" s="12" t="s">
        <v>27</v>
      </c>
      <c r="H22" s="13" t="s">
        <v>28</v>
      </c>
    </row>
    <row r="23" spans="1:8" ht="15.75" thickBot="1" x14ac:dyDescent="0.3">
      <c r="A23" s="5"/>
      <c r="B23" s="46"/>
      <c r="C23" s="34"/>
      <c r="E23" s="20">
        <v>240</v>
      </c>
      <c r="F23" s="21">
        <v>120</v>
      </c>
      <c r="G23" s="21">
        <v>200</v>
      </c>
      <c r="H23" s="14">
        <f t="shared" ref="H23" si="0">G23/(F23*E23)</f>
        <v>6.9444444444444441E-3</v>
      </c>
    </row>
    <row r="24" spans="1:8" ht="21.75" customHeight="1" thickBot="1" x14ac:dyDescent="0.3">
      <c r="A24" s="4"/>
      <c r="B24" s="46"/>
      <c r="C24" s="34"/>
      <c r="E24" s="93"/>
      <c r="F24" s="94"/>
      <c r="G24" s="94"/>
      <c r="H24" s="95"/>
    </row>
    <row r="25" spans="1:8" ht="19.5" thickBot="1" x14ac:dyDescent="0.3">
      <c r="A25" s="5"/>
      <c r="B25" s="46"/>
      <c r="C25" s="34"/>
      <c r="E25" s="15" t="s">
        <v>29</v>
      </c>
      <c r="F25" s="16" t="s">
        <v>30</v>
      </c>
      <c r="G25" s="91" t="s">
        <v>31</v>
      </c>
      <c r="H25" s="92"/>
    </row>
    <row r="26" spans="1:8" ht="15.75" customHeight="1" thickBot="1" x14ac:dyDescent="0.3">
      <c r="A26" s="3"/>
      <c r="B26" s="76"/>
      <c r="C26" s="77"/>
      <c r="E26" s="22">
        <v>20</v>
      </c>
      <c r="F26" s="23">
        <v>20</v>
      </c>
      <c r="G26" s="98">
        <f>F26*E26*H23</f>
        <v>2.7777777777777777</v>
      </c>
      <c r="H26" s="99"/>
    </row>
    <row r="27" spans="1:8" ht="21" thickBot="1" x14ac:dyDescent="0.35">
      <c r="A27" s="67"/>
      <c r="B27" s="68"/>
      <c r="C27" s="69"/>
      <c r="E27" s="108"/>
      <c r="F27" s="109"/>
      <c r="G27" s="109"/>
      <c r="H27" s="110"/>
    </row>
    <row r="28" spans="1:8" ht="19.5" thickBot="1" x14ac:dyDescent="0.3">
      <c r="A28" s="4"/>
      <c r="B28" s="47"/>
      <c r="C28" s="40"/>
      <c r="E28" s="15" t="s">
        <v>32</v>
      </c>
      <c r="F28" s="16" t="s">
        <v>33</v>
      </c>
      <c r="G28" s="17" t="s">
        <v>34</v>
      </c>
      <c r="H28" s="18" t="s">
        <v>35</v>
      </c>
    </row>
    <row r="29" spans="1:8" ht="15.75" customHeight="1" thickBot="1" x14ac:dyDescent="0.3">
      <c r="A29" s="27"/>
      <c r="B29" s="48"/>
      <c r="C29" s="34"/>
      <c r="E29" s="22">
        <v>200</v>
      </c>
      <c r="F29" s="23">
        <v>30</v>
      </c>
      <c r="G29" s="19">
        <f>G26+((E29/60)*F29)</f>
        <v>102.77777777777777</v>
      </c>
      <c r="H29" s="24">
        <v>30</v>
      </c>
    </row>
    <row r="30" spans="1:8" ht="21" customHeight="1" thickBot="1" x14ac:dyDescent="0.3">
      <c r="A30" s="27"/>
      <c r="B30" s="48"/>
      <c r="C30" s="34"/>
      <c r="E30" s="108"/>
      <c r="F30" s="109"/>
      <c r="G30" s="109"/>
      <c r="H30" s="110"/>
    </row>
    <row r="31" spans="1:8" ht="18.75" x14ac:dyDescent="0.25">
      <c r="A31" s="5"/>
      <c r="B31" s="48"/>
      <c r="C31" s="34"/>
      <c r="E31" s="100" t="s">
        <v>36</v>
      </c>
      <c r="F31" s="101"/>
      <c r="G31" s="104" t="s">
        <v>37</v>
      </c>
      <c r="H31" s="105"/>
    </row>
    <row r="32" spans="1:8" ht="21" customHeight="1" thickBot="1" x14ac:dyDescent="0.3">
      <c r="A32" s="5"/>
      <c r="B32" s="49"/>
      <c r="C32" s="34"/>
      <c r="E32" s="102">
        <f>G29+((G29/100)*H29)</f>
        <v>133.61111111111109</v>
      </c>
      <c r="F32" s="103"/>
      <c r="G32" s="106">
        <f>E32+((E32/100)*15)</f>
        <v>153.65277777777774</v>
      </c>
      <c r="H32" s="107"/>
    </row>
    <row r="33" spans="1:3" ht="15.75" customHeight="1" thickBot="1" x14ac:dyDescent="0.3">
      <c r="A33" s="3"/>
      <c r="B33" s="78"/>
      <c r="C33" s="79"/>
    </row>
    <row r="34" spans="1:3" ht="21" thickBot="1" x14ac:dyDescent="0.35">
      <c r="A34" s="67"/>
      <c r="B34" s="68"/>
      <c r="C34" s="69"/>
    </row>
    <row r="35" spans="1:3" x14ac:dyDescent="0.25">
      <c r="A35" s="5"/>
      <c r="B35" s="52"/>
      <c r="C35" s="53"/>
    </row>
    <row r="36" spans="1:3" x14ac:dyDescent="0.25">
      <c r="A36" s="5"/>
      <c r="B36" s="54"/>
      <c r="C36" s="55"/>
    </row>
    <row r="37" spans="1:3" x14ac:dyDescent="0.25">
      <c r="A37" s="5"/>
      <c r="B37" s="52"/>
      <c r="C37" s="53"/>
    </row>
    <row r="38" spans="1:3" x14ac:dyDescent="0.25">
      <c r="A38" s="5"/>
      <c r="B38" s="52"/>
      <c r="C38" s="53"/>
    </row>
    <row r="39" spans="1:3" ht="15.75" thickBot="1" x14ac:dyDescent="0.3">
      <c r="A39" s="5"/>
      <c r="B39" s="50"/>
      <c r="C39" s="51"/>
    </row>
    <row r="40" spans="1:3" x14ac:dyDescent="0.25">
      <c r="A40" s="70"/>
      <c r="B40" s="71"/>
      <c r="C40" s="72"/>
    </row>
    <row r="41" spans="1:3" ht="5.25" customHeight="1" thickBot="1" x14ac:dyDescent="0.3">
      <c r="A41" s="73"/>
      <c r="B41" s="74"/>
      <c r="C41" s="75"/>
    </row>
    <row r="42" spans="1:3" ht="27" thickBot="1" x14ac:dyDescent="0.35">
      <c r="A42" s="6"/>
      <c r="B42" s="65"/>
      <c r="C42" s="66"/>
    </row>
    <row r="43" spans="1:3" ht="15.75" customHeight="1" x14ac:dyDescent="0.25"/>
    <row r="44" spans="1:3" ht="15.75" customHeight="1" x14ac:dyDescent="0.25"/>
    <row r="45" spans="1:3" ht="15.75" customHeight="1" x14ac:dyDescent="0.25"/>
    <row r="46" spans="1:3" ht="15.75" customHeight="1" x14ac:dyDescent="0.25"/>
    <row r="47" spans="1:3" ht="15.75" customHeight="1" x14ac:dyDescent="0.25"/>
    <row r="48" spans="1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mergeCells count="24">
    <mergeCell ref="G26:H26"/>
    <mergeCell ref="E31:F31"/>
    <mergeCell ref="E32:F32"/>
    <mergeCell ref="G31:H31"/>
    <mergeCell ref="G32:H32"/>
    <mergeCell ref="E27:H27"/>
    <mergeCell ref="E30:H30"/>
    <mergeCell ref="A1:C1"/>
    <mergeCell ref="A2:C2"/>
    <mergeCell ref="E22:F22"/>
    <mergeCell ref="E21:H21"/>
    <mergeCell ref="G25:H25"/>
    <mergeCell ref="E24:H24"/>
    <mergeCell ref="B20:C20"/>
    <mergeCell ref="B10:C10"/>
    <mergeCell ref="A4:C4"/>
    <mergeCell ref="A21:C21"/>
    <mergeCell ref="A11:C11"/>
    <mergeCell ref="B42:C42"/>
    <mergeCell ref="A27:C27"/>
    <mergeCell ref="A34:C34"/>
    <mergeCell ref="A40:C41"/>
    <mergeCell ref="B26:C26"/>
    <mergeCell ref="B33:C33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"/>
  <sheetViews>
    <sheetView rightToLeft="1" topLeftCell="A7" workbookViewId="0">
      <selection activeCell="E11" sqref="E11"/>
    </sheetView>
  </sheetViews>
  <sheetFormatPr defaultColWidth="14.42578125" defaultRowHeight="15" customHeight="1" x14ac:dyDescent="0.25"/>
  <cols>
    <col min="1" max="1" width="70.140625" customWidth="1"/>
    <col min="2" max="2" width="24.7109375" customWidth="1"/>
    <col min="3" max="3" width="26.140625" customWidth="1"/>
    <col min="4" max="4" width="17.85546875" customWidth="1"/>
    <col min="5" max="5" width="12.85546875" customWidth="1"/>
    <col min="6" max="11" width="8.7109375" customWidth="1"/>
  </cols>
  <sheetData>
    <row r="1" spans="1:5" ht="38.25" customHeight="1" thickBot="1" x14ac:dyDescent="0.3">
      <c r="A1" s="111" t="s">
        <v>39</v>
      </c>
      <c r="B1" s="112"/>
      <c r="C1" s="113"/>
      <c r="D1" s="29"/>
      <c r="E1" s="29"/>
    </row>
    <row r="2" spans="1:5" ht="15" customHeight="1" x14ac:dyDescent="0.25">
      <c r="A2" s="59"/>
      <c r="B2" s="60"/>
      <c r="C2" s="61"/>
    </row>
    <row r="3" spans="1:5" ht="15.75" thickBot="1" x14ac:dyDescent="0.3">
      <c r="A3" s="8" t="s">
        <v>0</v>
      </c>
      <c r="B3" s="9" t="s">
        <v>1</v>
      </c>
      <c r="C3" s="30" t="s">
        <v>2</v>
      </c>
    </row>
    <row r="4" spans="1:5" ht="27" customHeight="1" thickBot="1" x14ac:dyDescent="0.3">
      <c r="A4" s="62" t="s">
        <v>12</v>
      </c>
      <c r="B4" s="63"/>
      <c r="C4" s="64"/>
    </row>
    <row r="5" spans="1:5" x14ac:dyDescent="0.25">
      <c r="A5" s="4" t="s">
        <v>13</v>
      </c>
      <c r="B5" s="37">
        <v>2.5</v>
      </c>
      <c r="C5" s="34" t="s">
        <v>14</v>
      </c>
    </row>
    <row r="6" spans="1:5" x14ac:dyDescent="0.25">
      <c r="A6" s="5" t="s">
        <v>15</v>
      </c>
      <c r="B6" s="38">
        <v>50</v>
      </c>
      <c r="C6" s="34" t="s">
        <v>3</v>
      </c>
    </row>
    <row r="7" spans="1:5" x14ac:dyDescent="0.25">
      <c r="A7" s="5" t="s">
        <v>16</v>
      </c>
      <c r="B7" s="38">
        <v>20</v>
      </c>
      <c r="C7" s="34" t="s">
        <v>17</v>
      </c>
    </row>
    <row r="8" spans="1:5" x14ac:dyDescent="0.25">
      <c r="A8" s="5" t="s">
        <v>18</v>
      </c>
      <c r="B8" s="38">
        <v>0</v>
      </c>
      <c r="C8" s="34" t="s">
        <v>5</v>
      </c>
    </row>
    <row r="9" spans="1:5" x14ac:dyDescent="0.25">
      <c r="A9" s="5" t="s">
        <v>6</v>
      </c>
      <c r="B9" s="39">
        <v>0.3</v>
      </c>
      <c r="C9" s="34" t="s">
        <v>4</v>
      </c>
    </row>
    <row r="10" spans="1:5" ht="15" customHeight="1" thickBot="1" x14ac:dyDescent="0.3">
      <c r="A10" s="3"/>
      <c r="B10" s="118"/>
      <c r="C10" s="119"/>
    </row>
    <row r="11" spans="1:5" ht="27" customHeight="1" thickBot="1" x14ac:dyDescent="0.3">
      <c r="A11" s="62" t="s">
        <v>19</v>
      </c>
      <c r="B11" s="63"/>
      <c r="C11" s="64"/>
    </row>
    <row r="12" spans="1:5" x14ac:dyDescent="0.25">
      <c r="A12" s="4" t="s">
        <v>40</v>
      </c>
      <c r="B12" s="33">
        <v>100</v>
      </c>
      <c r="C12" s="34" t="s">
        <v>20</v>
      </c>
    </row>
    <row r="13" spans="1:5" x14ac:dyDescent="0.25">
      <c r="A13" s="5" t="s">
        <v>21</v>
      </c>
      <c r="B13" s="35">
        <v>2</v>
      </c>
      <c r="C13" s="34" t="s">
        <v>7</v>
      </c>
    </row>
    <row r="14" spans="1:5" x14ac:dyDescent="0.25">
      <c r="A14" s="5" t="s">
        <v>8</v>
      </c>
      <c r="B14" s="36">
        <v>1</v>
      </c>
      <c r="C14" s="34" t="s">
        <v>9</v>
      </c>
    </row>
    <row r="15" spans="1:5" ht="15" customHeight="1" thickBot="1" x14ac:dyDescent="0.3">
      <c r="A15" s="3"/>
      <c r="B15" s="76"/>
      <c r="C15" s="77"/>
    </row>
    <row r="16" spans="1:5" ht="27" customHeight="1" thickBot="1" x14ac:dyDescent="0.3">
      <c r="A16" s="62" t="s">
        <v>10</v>
      </c>
      <c r="B16" s="63"/>
      <c r="C16" s="64"/>
    </row>
    <row r="17" spans="1:3" x14ac:dyDescent="0.25">
      <c r="A17" s="5" t="s">
        <v>22</v>
      </c>
      <c r="B17" s="116">
        <f>B12*B5*B14</f>
        <v>250</v>
      </c>
      <c r="C17" s="117"/>
    </row>
    <row r="18" spans="1:3" x14ac:dyDescent="0.25">
      <c r="A18" s="5" t="s">
        <v>23</v>
      </c>
      <c r="B18" s="116">
        <f>B13*B6*B14</f>
        <v>100</v>
      </c>
      <c r="C18" s="117"/>
    </row>
    <row r="19" spans="1:3" x14ac:dyDescent="0.25">
      <c r="A19" s="5" t="s">
        <v>24</v>
      </c>
      <c r="B19" s="116">
        <f>B7*B14</f>
        <v>20</v>
      </c>
      <c r="C19" s="117"/>
    </row>
    <row r="20" spans="1:3" x14ac:dyDescent="0.25">
      <c r="A20" s="5" t="s">
        <v>25</v>
      </c>
      <c r="B20" s="116">
        <f>B17+B18+B19+B8</f>
        <v>370</v>
      </c>
      <c r="C20" s="117"/>
    </row>
    <row r="21" spans="1:3" ht="15.75" customHeight="1" thickBot="1" x14ac:dyDescent="0.3">
      <c r="A21" s="3"/>
      <c r="B21" s="78"/>
      <c r="C21" s="79"/>
    </row>
    <row r="22" spans="1:3" ht="32.25" customHeight="1" thickBot="1" x14ac:dyDescent="0.3">
      <c r="A22" s="31" t="s">
        <v>11</v>
      </c>
      <c r="B22" s="114">
        <f>B20*(1+B9)</f>
        <v>481</v>
      </c>
      <c r="C22" s="115"/>
    </row>
    <row r="23" spans="1:3" ht="15.75" customHeight="1" x14ac:dyDescent="0.25"/>
    <row r="24" spans="1:3" ht="15" customHeight="1" x14ac:dyDescent="0.25">
      <c r="A24" s="28"/>
    </row>
    <row r="25" spans="1:3" ht="15.75" customHeight="1" x14ac:dyDescent="0.25"/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mergeCells count="13">
    <mergeCell ref="B22:C22"/>
    <mergeCell ref="A2:C2"/>
    <mergeCell ref="B17:C17"/>
    <mergeCell ref="B18:C18"/>
    <mergeCell ref="B19:C19"/>
    <mergeCell ref="B20:C20"/>
    <mergeCell ref="B10:C10"/>
    <mergeCell ref="B15:C15"/>
    <mergeCell ref="B21:C21"/>
    <mergeCell ref="A1:C1"/>
    <mergeCell ref="A4:C4"/>
    <mergeCell ref="A11:C11"/>
    <mergeCell ref="A16:C16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قص الليزر</vt:lpstr>
      <vt:lpstr>الطباعة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Muhammad Ahmed</cp:lastModifiedBy>
  <cp:revision>0</cp:revision>
  <dcterms:created xsi:type="dcterms:W3CDTF">2026-08-29T22:08:51Z</dcterms:created>
  <dcterms:modified xsi:type="dcterms:W3CDTF">2026-09-12T09:25:52Z</dcterms:modified>
  <dc:language>en-US</dc:language>
</cp:coreProperties>
</file>